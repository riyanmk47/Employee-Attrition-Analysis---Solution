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Data Cleaning Metrics" sheetId="2" r:id="rId5"/>
    <sheet state="visible" name="Job &amp; Organizational Factors" sheetId="3" r:id="rId6"/>
    <sheet state="visible" name="Demographic Factors" sheetId="4" r:id="rId7"/>
    <sheet state="visible" name="Work Experience &amp; Satisfaction" sheetId="5" r:id="rId8"/>
    <sheet state="visible" name="Compensation" sheetId="6" r:id="rId9"/>
    <sheet state="visible" name="Analysis" sheetId="7" r:id="rId10"/>
  </sheets>
  <definedNames>
    <definedName hidden="1" localSheetId="0" name="_xlnm._FilterDatabase">Dataset!$A$1:$AO$2926</definedName>
    <definedName name="CHECK_FOR_UNKNOWNS">LAMBDA(range, ARRAYFORMULA(IF(range="", "Unknown", range)))</definedName>
  </definedNames>
  <calcPr/>
  <pivotCaches>
    <pivotCache cacheId="0" r:id="rId11"/>
  </pivotCaches>
</workbook>
</file>

<file path=xl/sharedStrings.xml><?xml version="1.0" encoding="utf-8"?>
<sst xmlns="http://schemas.openxmlformats.org/spreadsheetml/2006/main" count="35264" uniqueCount="3040">
  <si>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</si>
  <si>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</si>
  <si>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</si>
  <si>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</si>
  <si>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</si>
  <si>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</si>
  <si>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</si>
  <si>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</si>
  <si>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</si>
  <si>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</si>
  <si>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</si>
  <si>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</si>
  <si>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</si>
  <si>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</si>
  <si>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</si>
  <si>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</si>
  <si>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</si>
  <si>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</si>
  <si>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</si>
  <si>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</si>
  <si>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</si>
  <si>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</si>
  <si>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</si>
  <si>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</si>
  <si>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</si>
  <si>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</si>
  <si>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</si>
  <si>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</si>
  <si>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</si>
  <si>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</si>
  <si>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</si>
  <si>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</si>
  <si>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</si>
  <si>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</si>
  <si>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</si>
  <si>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</si>
  <si>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</si>
  <si>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</si>
  <si>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</si>
  <si>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</si>
  <si>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</si>
  <si>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</si>
  <si>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</si>
  <si>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</si>
  <si>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</si>
  <si>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</si>
  <si>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</si>
  <si>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</si>
  <si>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</si>
  <si>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</si>
  <si>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</si>
  <si>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</si>
  <si>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</si>
  <si>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</si>
  <si>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</si>
  <si>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</si>
  <si>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</si>
  <si>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</si>
  <si>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</si>
  <si>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</si>
  <si>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</si>
  <si>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</si>
  <si>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</si>
  <si>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</si>
  <si>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</si>
  <si>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</si>
  <si>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</si>
  <si>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</si>
  <si>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</si>
  <si>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</si>
  <si>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</si>
  <si>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</si>
  <si>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</si>
  <si>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</si>
  <si>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</si>
  <si>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</si>
  <si>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</si>
  <si>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</si>
  <si>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</si>
  <si>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</si>
  <si>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</si>
  <si>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</si>
  <si>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</si>
  <si>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</si>
  <si>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</si>
  <si>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</si>
  <si>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</si>
  <si>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</si>
  <si>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</si>
  <si>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</si>
  <si>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</si>
  <si>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</si>
  <si>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</si>
  <si>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</si>
  <si>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</si>
  <si>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</si>
  <si>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</si>
  <si>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</si>
  <si>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</si>
  <si>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</si>
  <si>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</si>
  <si>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</si>
  <si>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</si>
  <si>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</si>
  <si>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</si>
  <si>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</si>
  <si>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</si>
  <si>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</si>
  <si>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</si>
  <si>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</si>
  <si>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</si>
  <si>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</si>
  <si>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</si>
  <si>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</si>
  <si>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</si>
  <si>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</si>
  <si>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</si>
  <si>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</si>
  <si>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</si>
  <si>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</si>
  <si>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</si>
  <si>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</si>
  <si>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</si>
  <si>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</si>
  <si>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</si>
  <si>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</si>
  <si>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</si>
  <si>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</si>
  <si>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</si>
  <si>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</si>
  <si>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</si>
  <si>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</si>
  <si>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</si>
  <si>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</si>
  <si>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</si>
  <si>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</si>
  <si>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</si>
  <si>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</si>
  <si>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</si>
  <si>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</si>
  <si>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</si>
  <si>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</si>
  <si>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</si>
  <si>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</si>
  <si>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</si>
  <si>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</si>
  <si>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</si>
  <si>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</si>
  <si>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</si>
  <si>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</si>
  <si>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</si>
  <si>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</si>
  <si>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</si>
  <si>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</si>
  <si>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</si>
  <si>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</si>
  <si>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</si>
  <si>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</si>
  <si>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</si>
  <si>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</si>
  <si>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</si>
  <si>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</si>
  <si>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</si>
  <si>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</si>
  <si>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</si>
  <si>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</si>
  <si>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</si>
  <si>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</si>
  <si>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</si>
  <si>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</si>
  <si>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</si>
  <si>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</si>
  <si>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</si>
  <si>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</si>
  <si>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</si>
  <si>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</si>
  <si>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</si>
  <si>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</si>
  <si>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</si>
  <si>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</si>
  <si>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</si>
  <si>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</si>
  <si>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</si>
  <si>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</si>
  <si>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</si>
  <si>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</si>
  <si>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</si>
  <si>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</si>
  <si>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</si>
  <si>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</si>
  <si>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</si>
  <si>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</si>
  <si>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</si>
  <si>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</si>
  <si>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</si>
  <si>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</si>
  <si>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</si>
  <si>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</si>
  <si>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</si>
  <si>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</si>
  <si>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</si>
  <si>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</si>
  <si>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</si>
  <si>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</si>
  <si>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</si>
  <si>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</si>
  <si>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</si>
  <si>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</si>
  <si>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</si>
  <si>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</si>
  <si>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</si>
  <si>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</si>
  <si>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</si>
  <si>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</si>
  <si>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</si>
  <si>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</si>
  <si>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</si>
  <si>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</si>
  <si>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</si>
  <si>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</si>
  <si>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</si>
  <si>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</si>
  <si>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</si>
  <si>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</si>
  <si>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</si>
  <si>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</si>
  <si>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</si>
  <si>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</si>
  <si>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</si>
  <si>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</si>
  <si>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</si>
  <si>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</si>
  <si>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</si>
  <si>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</si>
  <si>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</si>
  <si>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</si>
  <si>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</si>
  <si>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</si>
  <si>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</si>
  <si>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</si>
  <si>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</si>
  <si>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</si>
  <si>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</si>
  <si>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</si>
  <si>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</si>
  <si>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</si>
  <si>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</si>
  <si>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</si>
  <si>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</si>
  <si>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</si>
  <si>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</si>
  <si>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</si>
  <si>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</si>
  <si>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</si>
  <si>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</si>
  <si>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</si>
  <si>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</si>
  <si>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</si>
  <si>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</si>
  <si>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</si>
  <si>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</si>
  <si>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</si>
  <si>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</si>
  <si>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</si>
  <si>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</si>
  <si>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</si>
  <si>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</si>
  <si>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</si>
  <si>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</si>
  <si>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</si>
  <si>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</si>
  <si>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</si>
  <si>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</si>
  <si>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</si>
  <si>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</si>
  <si>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</si>
  <si>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</si>
  <si>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</si>
  <si>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</si>
  <si>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</si>
  <si>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</si>
  <si>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</si>
  <si>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</si>
  <si>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</si>
  <si>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</si>
  <si>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</si>
  <si>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</si>
  <si>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</si>
  <si>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</si>
  <si>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</si>
  <si>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</si>
  <si>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</si>
  <si>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</si>
  <si>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</si>
  <si>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</si>
  <si>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</si>
  <si>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</si>
  <si>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</si>
  <si>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</si>
  <si>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</si>
  <si>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</si>
  <si>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</si>
  <si>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</si>
  <si>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</si>
  <si>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</si>
  <si>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</si>
  <si>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</si>
  <si>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</si>
  <si>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</si>
  <si>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</si>
  <si>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</si>
  <si>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</si>
  <si>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</si>
  <si>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</si>
  <si>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</si>
  <si>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</si>
  <si>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</si>
  <si>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</si>
  <si>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</si>
  <si>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</si>
  <si>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</si>
  <si>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</si>
  <si>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</si>
  <si>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</si>
  <si>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</si>
  <si>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</si>
  <si>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</si>
  <si>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</si>
  <si>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</si>
  <si>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</si>
  <si>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</si>
  <si>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</si>
  <si>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</si>
  <si>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</si>
  <si>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</si>
  <si>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</si>
  <si>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</si>
  <si>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</si>
  <si>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</si>
  <si>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</si>
  <si>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</si>
  <si>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</si>
  <si>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</si>
  <si>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</si>
  <si>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</si>
  <si>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</si>
  <si>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</si>
  <si>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</si>
  <si>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</si>
  <si>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</si>
  <si>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</si>
  <si>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</si>
  <si>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</si>
  <si>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</si>
  <si>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</si>
  <si>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</si>
  <si>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</si>
  <si>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</si>
  <si>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</si>
  <si>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</si>
  <si>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</si>
  <si>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</si>
  <si>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</si>
  <si>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</si>
  <si>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</si>
  <si>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</si>
  <si>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</si>
  <si>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</si>
  <si>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</si>
  <si>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</si>
  <si>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</si>
  <si>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</si>
  <si>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</si>
  <si>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</si>
  <si>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</si>
  <si>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</si>
  <si>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</si>
  <si>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</si>
  <si>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</si>
  <si>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</si>
  <si>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</si>
  <si>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</si>
  <si>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</si>
  <si>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</si>
  <si>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</si>
  <si>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</si>
  <si>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</si>
  <si>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</si>
  <si>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</si>
  <si>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</si>
  <si>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</si>
  <si>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</si>
  <si>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</si>
  <si>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</si>
  <si>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</si>
  <si>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</si>
  <si>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</si>
  <si>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</si>
  <si>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</si>
  <si>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</si>
  <si>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</si>
  <si>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</si>
  <si>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</si>
  <si>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</si>
  <si>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</si>
  <si>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</si>
  <si>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</si>
  <si>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</si>
  <si>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</si>
  <si>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</si>
  <si>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</si>
  <si>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</si>
  <si>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</si>
  <si>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</si>
  <si>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</si>
  <si>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</si>
  <si>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</si>
  <si>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</si>
  <si>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</si>
  <si>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</si>
  <si>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</si>
  <si>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</si>
  <si>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</si>
  <si>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</si>
  <si>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</si>
  <si>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</si>
  <si>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</si>
  <si>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</si>
  <si>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</si>
  <si>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</si>
  <si>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</si>
  <si>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</si>
  <si>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</si>
  <si>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</si>
  <si>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</si>
  <si>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</si>
  <si>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</si>
  <si>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</si>
  <si>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</si>
  <si>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</si>
  <si>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</si>
  <si>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</si>
  <si>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</si>
  <si>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</si>
  <si>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</si>
  <si>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</si>
  <si>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</si>
  <si>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</si>
  <si>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</si>
  <si>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</si>
  <si>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</si>
  <si>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</si>
  <si>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</si>
  <si>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</si>
  <si>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</si>
  <si>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</si>
  <si>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</si>
  <si>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</si>
  <si>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</si>
  <si>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</si>
  <si>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</si>
  <si>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</si>
  <si>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</si>
  <si>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</si>
  <si>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</si>
  <si>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</si>
  <si>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</si>
  <si>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</si>
  <si>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</si>
  <si>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</si>
  <si>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</si>
  <si>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</si>
  <si>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</si>
  <si>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</si>
  <si>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</si>
  <si>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</si>
  <si>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</si>
  <si>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</si>
  <si>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</si>
  <si>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</si>
  <si>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</si>
  <si>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</si>
  <si>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</si>
  <si>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</si>
  <si>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</si>
  <si>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</si>
  <si>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</si>
  <si>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</si>
  <si>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</si>
  <si>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</si>
  <si>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</si>
  <si>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</si>
  <si>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</si>
  <si>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</si>
  <si>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</si>
  <si>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</si>
  <si>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</si>
  <si>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</si>
  <si>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</si>
  <si>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</si>
  <si>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</si>
  <si>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</si>
  <si>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</si>
  <si>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</si>
  <si>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</si>
  <si>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</si>
  <si>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</si>
  <si>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</si>
  <si>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</si>
  <si>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</si>
  <si>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</si>
  <si>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</si>
  <si>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</si>
  <si>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</si>
  <si>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</si>
  <si>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</si>
  <si>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</si>
  <si>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</si>
  <si>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</si>
  <si>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</si>
  <si>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</si>
  <si>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</si>
  <si>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</si>
  <si>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</si>
  <si>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</si>
  <si>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</si>
  <si>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</si>
  <si>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</si>
  <si>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</si>
  <si>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</si>
  <si>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</si>
  <si>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</si>
  <si>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</si>
  <si>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</si>
  <si>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</si>
  <si>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</si>
  <si>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</si>
  <si>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</si>
  <si>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</si>
  <si>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</si>
  <si>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</si>
  <si>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</si>
  <si>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</si>
  <si>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</si>
  <si>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</si>
  <si>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</si>
  <si>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</si>
  <si>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</si>
  <si>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</si>
  <si>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</si>
  <si>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</si>
  <si>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</si>
  <si>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</si>
  <si>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</si>
  <si>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</si>
  <si>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</si>
  <si>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</si>
  <si>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</si>
  <si>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</si>
  <si>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</si>
  <si>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</si>
  <si>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</si>
  <si>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</si>
  <si>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</si>
  <si>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</si>
  <si>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</si>
  <si>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</si>
  <si>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</si>
  <si>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</si>
  <si>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</si>
  <si>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</si>
  <si>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</si>
  <si>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</si>
  <si>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</si>
  <si>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</si>
  <si>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</si>
  <si>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</si>
  <si>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</si>
  <si>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</si>
  <si>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</si>
  <si>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</si>
  <si>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</si>
  <si>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</si>
  <si>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</si>
  <si>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</si>
  <si>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</si>
  <si>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</si>
  <si>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</si>
  <si>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</si>
  <si>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</si>
  <si>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</si>
  <si>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</si>
  <si>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</si>
  <si>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</si>
  <si>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</si>
  <si>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</si>
  <si>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</si>
  <si>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</si>
  <si>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</si>
  <si>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</si>
  <si>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</si>
  <si>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</si>
  <si>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</si>
  <si>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</si>
  <si>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</si>
  <si>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</si>
  <si>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</si>
  <si>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</si>
  <si>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</si>
  <si>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</si>
  <si>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</si>
  <si>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</si>
  <si>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</si>
  <si>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</si>
  <si>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</si>
  <si>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</si>
  <si>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</si>
  <si>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</si>
  <si>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</si>
  <si>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</si>
  <si>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</si>
  <si>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</si>
  <si>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</si>
  <si>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</si>
  <si>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</si>
  <si>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</si>
  <si>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</si>
  <si>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</si>
  <si>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</si>
  <si>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</si>
  <si>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</si>
  <si>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</si>
  <si>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</si>
  <si>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</si>
  <si>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</si>
  <si>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</si>
  <si>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</si>
  <si>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</si>
  <si>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</si>
  <si>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</si>
  <si>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</si>
  <si>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</si>
  <si>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</si>
  <si>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</si>
  <si>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</si>
  <si>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</si>
  <si>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</si>
  <si>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</si>
  <si>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</si>
  <si>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</si>
  <si>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</si>
  <si>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</si>
  <si>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</si>
  <si>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</si>
  <si>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</si>
  <si>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</si>
  <si>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</si>
  <si>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</si>
  <si>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</si>
  <si>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</si>
  <si>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</si>
  <si>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</si>
  <si>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</si>
  <si>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</si>
  <si>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</si>
  <si>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</si>
  <si>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</si>
  <si>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</si>
  <si>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</si>
  <si>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</si>
  <si>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</si>
  <si>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</si>
  <si>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</si>
  <si>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</si>
  <si>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</si>
  <si>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</si>
  <si>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</si>
  <si>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</si>
  <si>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</si>
  <si>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</si>
  <si>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</si>
  <si>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</si>
  <si>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</si>
  <si>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</si>
  <si>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</si>
  <si>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</si>
  <si>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</si>
  <si>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</si>
  <si>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</si>
  <si>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</si>
  <si>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</si>
  <si>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</si>
  <si>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</si>
  <si>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</si>
  <si>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</si>
  <si>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</si>
  <si>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</si>
  <si>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</si>
  <si>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</si>
  <si>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</si>
  <si>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</si>
  <si>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</si>
  <si>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</si>
  <si>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</si>
  <si>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</si>
  <si>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</si>
  <si>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</si>
  <si>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</si>
  <si>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</si>
  <si>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</si>
  <si>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</si>
  <si>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</si>
  <si>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</si>
  <si>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</si>
  <si>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</si>
  <si>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</si>
  <si>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</si>
  <si>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</si>
  <si>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</si>
  <si>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</si>
  <si>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</si>
  <si>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</si>
  <si>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</si>
  <si>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</si>
  <si>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</si>
  <si>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</si>
  <si>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</si>
  <si>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</si>
  <si>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</si>
  <si>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</si>
  <si>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</si>
  <si>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</si>
  <si>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</si>
  <si>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</si>
  <si>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</si>
  <si>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</si>
  <si>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</si>
  <si>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</si>
  <si>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</si>
  <si>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</si>
  <si>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</si>
  <si>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</si>
  <si>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</si>
  <si>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</si>
  <si>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</si>
  <si>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</si>
  <si>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</si>
  <si>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</si>
  <si>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</si>
  <si>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</si>
  <si>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</si>
  <si>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</si>
  <si>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</si>
  <si>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</si>
  <si>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</si>
  <si>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</si>
  <si>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</si>
  <si>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</si>
  <si>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</si>
  <si>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</si>
  <si>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</si>
  <si>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</si>
  <si>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</si>
  <si>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</si>
  <si>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</si>
  <si>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</si>
  <si>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</si>
  <si>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</si>
  <si>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</si>
  <si>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</si>
  <si>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</si>
  <si>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</si>
  <si>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</si>
  <si>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</si>
  <si>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</si>
  <si>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</si>
  <si>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</si>
  <si>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</si>
  <si>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</si>
  <si>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</si>
  <si>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</si>
  <si>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</si>
  <si>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</si>
  <si>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</si>
  <si>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</si>
  <si>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</si>
  <si>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</si>
  <si>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</si>
  <si>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</si>
  <si>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</si>
  <si>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</si>
  <si>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</si>
  <si>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</si>
  <si>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</si>
  <si>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</si>
  <si>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</si>
  <si>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</si>
  <si>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</si>
  <si>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</si>
  <si>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</si>
  <si>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</si>
  <si>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</si>
  <si>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</si>
  <si>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</si>
  <si>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</si>
  <si>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</si>
  <si>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</si>
  <si>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</si>
  <si>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</si>
  <si>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</si>
  <si>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</si>
  <si>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</si>
  <si>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</si>
  <si>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</si>
  <si>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</si>
  <si>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</si>
  <si>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</si>
  <si>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</si>
  <si>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</si>
  <si>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</si>
  <si>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</si>
  <si>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</si>
  <si>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</si>
  <si>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</si>
  <si>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</si>
  <si>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</si>
  <si>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</si>
  <si>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</si>
  <si>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</si>
  <si>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</si>
  <si>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</si>
  <si>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</si>
  <si>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</si>
  <si>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</si>
  <si>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</si>
  <si>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</si>
  <si>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</si>
  <si>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</si>
  <si>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</si>
  <si>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</si>
  <si>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</si>
  <si>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</si>
  <si>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</si>
  <si>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</si>
  <si>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</si>
  <si>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</si>
  <si>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</si>
  <si>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</si>
  <si>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</si>
  <si>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</si>
  <si>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</si>
  <si>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</si>
  <si>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</si>
  <si>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</si>
  <si>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</si>
  <si>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</si>
  <si>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</si>
  <si>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</si>
  <si>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</si>
  <si>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</si>
  <si>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</si>
  <si>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</si>
  <si>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</si>
  <si>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</si>
  <si>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</si>
  <si>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</si>
  <si>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</si>
  <si>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</si>
  <si>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</si>
  <si>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</si>
  <si>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</si>
  <si>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</si>
  <si>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</si>
  <si>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</si>
  <si>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</si>
  <si>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</si>
  <si>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</si>
  <si>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</si>
  <si>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</si>
  <si>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</si>
  <si>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</si>
  <si>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</si>
  <si>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</si>
  <si>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</si>
  <si>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</si>
  <si>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</si>
  <si>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</si>
  <si>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</si>
  <si>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</si>
  <si>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</si>
  <si>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</si>
  <si>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</si>
  <si>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</si>
  <si>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</si>
  <si>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</si>
  <si>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</si>
  <si>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</si>
  <si>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</si>
  <si>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</si>
  <si>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</si>
  <si>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</si>
  <si>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</si>
  <si>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</si>
  <si>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</si>
  <si>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</si>
  <si>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</si>
  <si>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</si>
  <si>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</si>
  <si>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</si>
  <si>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</si>
  <si>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</si>
  <si>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</si>
  <si>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</si>
  <si>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</si>
  <si>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</si>
  <si>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</si>
  <si>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</si>
  <si>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</si>
  <si>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</si>
  <si>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</si>
  <si>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</si>
  <si>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</si>
  <si>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</si>
  <si>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</si>
  <si>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</si>
  <si>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</si>
  <si>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</si>
  <si>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</si>
  <si>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</si>
  <si>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</si>
  <si>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</si>
  <si>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</si>
  <si>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</si>
  <si>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</si>
  <si>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</si>
  <si>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</si>
  <si>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</si>
  <si>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</si>
  <si>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</si>
  <si>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</si>
  <si>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</si>
  <si>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</si>
  <si>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</si>
  <si>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</si>
  <si>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</si>
  <si>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</si>
  <si>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</si>
  <si>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</si>
  <si>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</si>
  <si>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</si>
  <si>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</si>
  <si>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</si>
  <si>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</si>
  <si>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</si>
  <si>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</si>
  <si>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</si>
  <si>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</si>
  <si>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</si>
  <si>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</si>
  <si>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</si>
  <si>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</si>
  <si>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</si>
  <si>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</si>
  <si>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</si>
  <si>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</si>
  <si>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</si>
  <si>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</si>
  <si>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</si>
  <si>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</si>
  <si>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</si>
  <si>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</si>
  <si>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</si>
  <si>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</si>
  <si>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</si>
  <si>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</si>
  <si>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</si>
  <si>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</si>
  <si>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</si>
  <si>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</si>
  <si>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</si>
  <si>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</si>
  <si>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</si>
  <si>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</si>
  <si>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</si>
  <si>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</si>
  <si>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</si>
  <si>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</si>
  <si>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</si>
  <si>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</si>
  <si>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</si>
  <si>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</si>
  <si>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</si>
  <si>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</si>
  <si>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</si>
  <si>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</si>
  <si>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</si>
  <si>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</si>
  <si>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</si>
  <si>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</si>
  <si>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</si>
  <si>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</si>
  <si>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</si>
  <si>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</si>
  <si>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</si>
  <si>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</si>
  <si>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</si>
  <si>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</si>
  <si>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</si>
  <si>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</si>
  <si>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</si>
  <si>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</si>
  <si>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</si>
  <si>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</si>
  <si>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</si>
  <si>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</si>
  <si>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</si>
  <si>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</si>
  <si>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</si>
  <si>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</si>
  <si>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</si>
  <si>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</si>
  <si>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</si>
  <si>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</si>
  <si>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</si>
  <si>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</si>
  <si>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</si>
  <si>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</si>
  <si>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</si>
  <si>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</si>
  <si>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</si>
  <si>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</si>
  <si>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</si>
  <si>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</si>
  <si>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</si>
  <si>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</si>
  <si>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</si>
  <si>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</si>
  <si>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</si>
  <si>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</si>
  <si>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</si>
  <si>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</si>
  <si>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</si>
  <si>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</si>
  <si>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</si>
  <si>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</si>
  <si>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</si>
  <si>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</si>
  <si>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</si>
  <si>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</si>
  <si>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</si>
  <si>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</si>
  <si>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</si>
  <si>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</si>
  <si>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</si>
  <si>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</si>
  <si>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</si>
  <si>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</si>
  <si>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</si>
  <si>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</si>
  <si>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</si>
  <si>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</si>
  <si>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</si>
  <si>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</si>
  <si>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</si>
  <si>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</si>
  <si>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</si>
  <si>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</si>
  <si>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</si>
  <si>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</si>
  <si>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</si>
  <si>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</si>
  <si>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</si>
  <si>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</si>
  <si>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</si>
  <si>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</si>
  <si>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</si>
  <si>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</si>
  <si>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</si>
  <si>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</si>
  <si>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</si>
  <si>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</si>
  <si>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</si>
  <si>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</si>
  <si>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</si>
  <si>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</si>
  <si>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</si>
  <si>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</si>
  <si>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</si>
  <si>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</si>
  <si>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</si>
  <si>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</si>
  <si>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</si>
  <si>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</si>
  <si>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</si>
  <si>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</si>
  <si>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</si>
  <si>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</si>
  <si>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</si>
  <si>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</si>
  <si>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</si>
  <si>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</si>
  <si>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</si>
  <si>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</si>
  <si>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</si>
  <si>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</si>
  <si>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</si>
  <si>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</si>
  <si>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</si>
  <si>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</si>
  <si>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</si>
  <si>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</si>
  <si>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</si>
  <si>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</si>
  <si>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</si>
  <si>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</si>
  <si>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</si>
  <si>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</si>
  <si>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</si>
  <si>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</si>
  <si>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</si>
  <si>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</si>
  <si>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</si>
  <si>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</si>
  <si>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</si>
  <si>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</si>
  <si>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</si>
  <si>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</si>
  <si>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</si>
  <si>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</si>
  <si>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</si>
  <si>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</si>
  <si>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</si>
  <si>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</si>
  <si>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</si>
  <si>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</si>
  <si>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</si>
  <si>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</si>
  <si>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</si>
  <si>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</si>
  <si>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</si>
  <si>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</si>
  <si>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</si>
  <si>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</si>
  <si>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</si>
  <si>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</si>
  <si>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</si>
  <si>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</si>
  <si>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</si>
  <si>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</si>
  <si>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</si>
  <si>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</si>
  <si>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</si>
  <si>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</si>
  <si>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</si>
  <si>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</si>
  <si>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</si>
  <si>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</si>
  <si>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</si>
  <si>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</si>
  <si>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</si>
  <si>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</si>
  <si>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</si>
  <si>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</si>
  <si>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</si>
  <si>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</si>
  <si>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</si>
  <si>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</si>
  <si>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</si>
  <si>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</si>
  <si>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</si>
  <si>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</si>
  <si>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</si>
  <si>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</si>
  <si>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</si>
  <si>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</si>
  <si>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</si>
  <si>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</si>
  <si>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</si>
  <si>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</si>
  <si>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</si>
  <si>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</si>
  <si>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</si>
  <si>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</si>
  <si>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</si>
  <si>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</si>
  <si>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</si>
  <si>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</si>
  <si>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</si>
  <si>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</si>
  <si>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</si>
  <si>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</si>
  <si>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</si>
  <si>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</si>
  <si>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</si>
  <si>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</si>
  <si>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</si>
  <si>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</si>
  <si>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</si>
  <si>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</si>
  <si>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</si>
  <si>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</si>
  <si>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</si>
  <si>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</si>
  <si>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</si>
  <si>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</si>
  <si>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</si>
  <si>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</si>
  <si>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</si>
  <si>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</si>
  <si>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</si>
  <si>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</si>
  <si>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</si>
  <si>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</si>
  <si>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</si>
  <si>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</si>
  <si>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</si>
  <si>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</si>
  <si>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</si>
  <si>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</si>
  <si>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</si>
  <si>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</si>
  <si>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</si>
  <si>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</si>
  <si>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</si>
  <si>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</si>
  <si>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</si>
  <si>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</si>
  <si>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</si>
  <si>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</si>
  <si>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</si>
  <si>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</si>
  <si>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</si>
  <si>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</si>
  <si>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</si>
  <si>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</si>
  <si>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</si>
  <si>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</si>
  <si>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</si>
  <si>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</si>
  <si>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</si>
  <si>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</si>
  <si>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</si>
  <si>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</si>
  <si>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</si>
  <si>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</si>
  <si>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</si>
  <si>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</si>
  <si>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</si>
  <si>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</si>
  <si>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</si>
  <si>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</si>
  <si>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</si>
  <si>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</si>
  <si>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</si>
  <si>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</si>
  <si>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</si>
  <si>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</si>
  <si>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</si>
  <si>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</si>
  <si>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</si>
  <si>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</si>
  <si>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</si>
  <si>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</si>
  <si>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</si>
  <si>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</si>
  <si>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</si>
  <si>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</si>
  <si>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</si>
  <si>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</si>
  <si>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</si>
  <si>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</si>
  <si>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</si>
  <si>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</si>
  <si>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</si>
  <si>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</si>
  <si>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</si>
  <si>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</si>
  <si>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</si>
  <si>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</si>
  <si>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</si>
  <si>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</si>
  <si>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</si>
  <si>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</si>
  <si>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</si>
  <si>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</si>
  <si>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</si>
  <si>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</si>
  <si>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</si>
  <si>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</si>
  <si>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</si>
  <si>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</si>
  <si>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</si>
  <si>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</si>
  <si>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</si>
  <si>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</si>
  <si>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</si>
  <si>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</si>
  <si>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</si>
  <si>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</si>
  <si>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</si>
  <si>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</si>
  <si>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</si>
  <si>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</si>
  <si>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</si>
  <si>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</si>
  <si>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</si>
  <si>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</si>
  <si>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</si>
  <si>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</si>
  <si>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</si>
  <si>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</si>
  <si>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</si>
  <si>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</si>
  <si>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</si>
  <si>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</si>
  <si>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</si>
  <si>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</si>
  <si>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</si>
  <si>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</si>
  <si>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</si>
  <si>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</si>
  <si>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</si>
  <si>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</si>
  <si>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</si>
  <si>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</si>
  <si>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</si>
  <si>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</si>
  <si>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</si>
  <si>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</si>
  <si>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</si>
  <si>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</si>
  <si>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</si>
  <si>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</si>
  <si>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</si>
  <si>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</si>
  <si>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</si>
  <si>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</si>
  <si>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</si>
  <si>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</si>
  <si>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</si>
  <si>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</si>
  <si>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</si>
  <si>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</si>
  <si>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</si>
  <si>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</si>
  <si>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</si>
  <si>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</si>
  <si>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</si>
  <si>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</si>
  <si>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</si>
  <si>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</si>
  <si>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</si>
  <si>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</si>
  <si>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</si>
  <si>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</si>
  <si>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</si>
  <si>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</si>
  <si>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</si>
  <si>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</si>
  <si>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</si>
  <si>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</si>
  <si>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</si>
  <si>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</si>
  <si>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</si>
  <si>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</si>
  <si>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</si>
  <si>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</si>
  <si>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</si>
  <si>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</si>
  <si>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</si>
  <si>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</si>
  <si>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</si>
  <si>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</si>
  <si>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</si>
  <si>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</si>
  <si>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</si>
  <si>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</si>
  <si>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</si>
  <si>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</si>
  <si>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</si>
  <si>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</si>
  <si>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</si>
  <si>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</si>
  <si>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</si>
  <si>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</si>
  <si>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</si>
  <si>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</si>
  <si>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</si>
  <si>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</si>
  <si>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</si>
  <si>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</si>
  <si>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</si>
  <si>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</si>
  <si>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</si>
  <si>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</si>
  <si>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</si>
  <si>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</si>
  <si>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</si>
  <si>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</si>
  <si>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</si>
  <si>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</si>
  <si>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</si>
  <si>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</si>
  <si>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</si>
  <si>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</si>
  <si>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</si>
  <si>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</si>
  <si>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</si>
  <si>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</si>
  <si>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</si>
  <si>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</si>
  <si>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</si>
  <si>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</si>
  <si>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</si>
  <si>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</si>
  <si>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</si>
  <si>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</si>
  <si>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</si>
  <si>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</si>
  <si>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</si>
  <si>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</si>
  <si>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</si>
  <si>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</si>
  <si>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</si>
  <si>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</si>
  <si>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</si>
  <si>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</si>
  <si>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</si>
  <si>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</si>
  <si>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</si>
  <si>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</si>
  <si>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</si>
  <si>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</si>
  <si>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</si>
  <si>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</si>
  <si>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</si>
  <si>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</si>
  <si>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</si>
  <si>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</si>
  <si>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</si>
  <si>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</si>
  <si>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</si>
  <si>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</si>
  <si>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</si>
  <si>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</si>
  <si>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</si>
  <si>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</si>
  <si>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</si>
  <si>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</si>
  <si>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</si>
  <si>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</si>
  <si>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</si>
  <si>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</si>
  <si>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</si>
  <si>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</si>
  <si>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</si>
  <si>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</si>
  <si>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</si>
  <si>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</si>
  <si>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</si>
  <si>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</si>
  <si>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</si>
  <si>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</si>
  <si>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</si>
  <si>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</si>
  <si>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</si>
  <si>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</si>
  <si>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</si>
  <si>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</si>
  <si>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</si>
  <si>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</si>
  <si>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</si>
  <si>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</si>
  <si>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</si>
  <si>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</si>
  <si>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</si>
  <si>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</si>
  <si>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</si>
  <si>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</si>
  <si>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</si>
  <si>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</si>
  <si>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</si>
  <si>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</si>
  <si>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</si>
  <si>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</si>
  <si>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</si>
  <si>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</si>
  <si>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</si>
  <si>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</si>
  <si>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</si>
  <si>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</si>
  <si>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</si>
  <si>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</si>
  <si>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</si>
  <si>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</si>
  <si>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</si>
  <si>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</si>
  <si>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</si>
  <si>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</si>
  <si>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</si>
  <si>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</si>
  <si>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</si>
  <si>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</si>
  <si>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</si>
  <si>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</si>
  <si>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</si>
  <si>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</si>
  <si>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</si>
  <si>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</si>
  <si>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</si>
  <si>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</si>
  <si>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</si>
  <si>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</si>
  <si>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</si>
  <si>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</si>
  <si>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</si>
  <si>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</si>
  <si>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</si>
  <si>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</si>
  <si>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</si>
  <si>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</si>
  <si>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</si>
  <si>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</si>
  <si>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</si>
  <si>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</si>
  <si>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</si>
  <si>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</si>
  <si>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</si>
  <si>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</si>
  <si>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</si>
  <si>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</si>
  <si>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</si>
  <si>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</si>
  <si>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</si>
  <si>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</si>
  <si>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</si>
  <si>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</si>
  <si>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</si>
  <si>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</si>
  <si>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</si>
  <si>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</si>
  <si>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</si>
  <si>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</si>
  <si>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</si>
  <si>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</si>
  <si>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</si>
  <si>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</si>
  <si>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</si>
  <si>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</si>
  <si>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</si>
  <si>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</si>
  <si>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</si>
  <si>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</si>
  <si>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</si>
  <si>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</si>
  <si>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</si>
  <si>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</si>
  <si>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</si>
  <si>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</si>
  <si>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</si>
  <si>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</si>
  <si>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</si>
  <si>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</si>
  <si>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</si>
  <si>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</si>
  <si>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</si>
  <si>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</si>
  <si>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</si>
  <si>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</si>
  <si>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</si>
  <si>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</si>
  <si>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</si>
  <si>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</si>
  <si>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</si>
  <si>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</si>
  <si>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</si>
  <si>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</si>
  <si>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</si>
  <si>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</si>
  <si>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</si>
  <si>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</si>
  <si>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</si>
  <si>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</si>
  <si>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</si>
  <si>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</si>
  <si>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</si>
  <si>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</si>
  <si>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</si>
  <si>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</si>
  <si>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</si>
  <si>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</si>
  <si>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</si>
  <si>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</si>
  <si>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</si>
  <si>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</si>
  <si>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</si>
  <si>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</si>
  <si>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</si>
  <si>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</si>
  <si>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</si>
  <si>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</si>
  <si>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</si>
  <si>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</si>
  <si>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</si>
  <si>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</si>
  <si>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</si>
  <si>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</si>
  <si>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</si>
  <si>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</si>
  <si>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</si>
  <si>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</si>
  <si>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</si>
  <si>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</si>
  <si>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</si>
  <si>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</si>
  <si>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</si>
  <si>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</si>
  <si>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</si>
  <si>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</si>
  <si>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</si>
  <si>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</si>
  <si>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</si>
  <si>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</si>
  <si>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</si>
  <si>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</si>
  <si>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</si>
  <si>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</si>
  <si>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</si>
  <si>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</si>
  <si>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</si>
  <si>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</si>
  <si>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</si>
  <si>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</si>
  <si>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</si>
  <si>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</si>
  <si>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</si>
  <si>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</si>
  <si>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</si>
  <si>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</si>
  <si>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</si>
  <si>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</si>
  <si>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</si>
  <si>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</si>
  <si>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</si>
  <si>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</si>
  <si>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</si>
  <si>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</si>
  <si>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</si>
  <si>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</si>
  <si>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</si>
  <si>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</si>
  <si>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</si>
  <si>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</si>
  <si>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</si>
  <si>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</si>
  <si>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</si>
  <si>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</si>
  <si>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</si>
  <si>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</si>
  <si>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</si>
  <si>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</si>
  <si>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</si>
  <si>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</si>
  <si>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</si>
  <si>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</si>
  <si>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</si>
  <si>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</si>
  <si>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</si>
  <si>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</si>
  <si>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</si>
  <si>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</si>
  <si>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</si>
  <si>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</si>
  <si>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</si>
  <si>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</si>
  <si>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</si>
  <si>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</si>
  <si>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</si>
  <si>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</si>
  <si>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</si>
  <si>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</si>
  <si>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</si>
  <si>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</si>
  <si>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</si>
  <si>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</si>
  <si>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</si>
  <si>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</si>
  <si>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</si>
  <si>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</si>
  <si>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</si>
  <si>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</si>
  <si>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</si>
  <si>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</si>
  <si>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</si>
  <si>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</si>
  <si>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</si>
  <si>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</si>
  <si>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</si>
  <si>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</si>
  <si>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</si>
  <si>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</si>
  <si>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</si>
  <si>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</si>
  <si>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</si>
  <si>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</si>
  <si>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</si>
  <si>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</si>
  <si>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</si>
  <si>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</si>
  <si>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</si>
  <si>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</si>
  <si>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</si>
  <si>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</si>
  <si>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</si>
  <si>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</si>
  <si>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</si>
  <si>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</si>
  <si>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</si>
  <si>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</si>
  <si>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</si>
  <si>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</si>
  <si>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</si>
  <si>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</si>
  <si>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</si>
  <si>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</si>
  <si>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</si>
  <si>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</si>
  <si>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</si>
  <si>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</si>
  <si>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</si>
  <si>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</si>
  <si>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</si>
  <si>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</si>
  <si>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</si>
  <si>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</si>
  <si>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</si>
  <si>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</si>
  <si>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</si>
  <si>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</si>
  <si>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</si>
  <si>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</si>
  <si>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</si>
  <si>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</si>
  <si>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</si>
  <si>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</si>
  <si>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</si>
  <si>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</si>
  <si>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</si>
  <si>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</si>
  <si>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</si>
  <si>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</si>
  <si>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</si>
  <si>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</si>
  <si>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</si>
  <si>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</si>
  <si>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</si>
  <si>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</si>
  <si>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</si>
  <si>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</si>
  <si>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</si>
  <si>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</si>
  <si>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</si>
  <si>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</si>
  <si>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</si>
  <si>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</si>
  <si>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</si>
  <si>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</si>
  <si>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</si>
  <si>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</si>
  <si>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</si>
  <si>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</si>
  <si>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</si>
  <si>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</si>
  <si>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</si>
  <si>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</si>
  <si>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</si>
  <si>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</si>
  <si>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</si>
  <si>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</si>
  <si>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</si>
  <si>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</si>
  <si>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</si>
  <si>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</si>
  <si>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</si>
  <si>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</si>
  <si>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</si>
  <si>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</si>
  <si>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</si>
  <si>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</si>
  <si>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</si>
  <si>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</si>
  <si>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</si>
  <si>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</si>
  <si>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</si>
  <si>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</si>
  <si>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</si>
  <si>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</si>
  <si>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</si>
  <si>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</si>
  <si>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</si>
  <si>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</si>
  <si>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</si>
  <si>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</si>
  <si>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</si>
  <si>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</si>
  <si>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</si>
  <si>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</si>
  <si>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</si>
  <si>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</si>
  <si>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</si>
  <si>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</si>
  <si>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</si>
  <si>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</si>
  <si>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</si>
  <si>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</si>
  <si>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</si>
  <si>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</si>
  <si>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</si>
  <si>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</si>
  <si>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</si>
  <si>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</si>
  <si>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</si>
  <si>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</si>
  <si>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</si>
  <si>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</si>
  <si>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</si>
  <si>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</si>
  <si>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</si>
  <si>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</si>
  <si>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</si>
  <si>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</si>
  <si>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</si>
  <si>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</si>
  <si>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</si>
  <si>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</si>
  <si>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</si>
  <si>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</si>
  <si>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</si>
  <si>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</si>
  <si>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</si>
  <si>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</si>
  <si>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</si>
  <si>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</si>
  <si>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</si>
  <si>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</si>
  <si>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</si>
  <si>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</si>
  <si>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</si>
  <si>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</si>
  <si>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</si>
  <si>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</si>
  <si>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</si>
  <si>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</si>
  <si>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</si>
  <si>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</si>
  <si>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</si>
  <si>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</si>
  <si>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</si>
  <si>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</si>
  <si>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</si>
  <si>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</si>
  <si>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</si>
  <si>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</si>
  <si>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</si>
  <si>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</si>
  <si>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</si>
  <si>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</si>
  <si>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</si>
  <si>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</si>
  <si>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</si>
  <si>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</si>
  <si>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</si>
  <si>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</si>
  <si>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</si>
  <si>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</si>
  <si>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</si>
  <si>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</si>
  <si>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</si>
  <si>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</si>
  <si>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</si>
  <si>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</si>
  <si>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</si>
  <si>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</si>
  <si>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</si>
  <si>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</si>
  <si>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</si>
  <si>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</si>
  <si>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</si>
  <si>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</si>
  <si>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</si>
  <si>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</si>
  <si>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</si>
  <si>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</si>
  <si>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</si>
  <si>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</si>
  <si>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</si>
  <si>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</si>
  <si>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</si>
  <si>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</si>
  <si>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</si>
  <si>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</si>
  <si>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</si>
  <si>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</si>
  <si>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</si>
  <si>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</si>
  <si>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</si>
  <si>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</si>
  <si>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</si>
  <si>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</si>
  <si>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</si>
  <si>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</si>
  <si>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</si>
  <si>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</si>
  <si>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</si>
  <si>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</si>
  <si>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</si>
  <si>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</si>
  <si>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</si>
  <si>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</si>
  <si>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</si>
  <si>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</si>
  <si>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</si>
  <si>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</si>
  <si>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</si>
  <si>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</si>
  <si>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</si>
  <si>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</si>
  <si>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</si>
  <si>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</si>
  <si>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</si>
  <si>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</si>
  <si>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</si>
  <si>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</si>
  <si>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</si>
  <si>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</si>
  <si>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</si>
  <si>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</si>
  <si>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</si>
  <si>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</si>
  <si>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</si>
  <si>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</si>
  <si>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</si>
  <si>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</si>
  <si>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</si>
  <si>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</si>
  <si>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</si>
  <si>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</si>
  <si>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</si>
  <si>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</si>
  <si>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</si>
  <si>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</si>
  <si>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</si>
  <si>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</si>
  <si>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</si>
  <si>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</si>
  <si>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</si>
  <si>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</si>
  <si>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</si>
  <si>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</si>
  <si>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</si>
  <si>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</si>
  <si>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</si>
  <si>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</si>
  <si>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</si>
  <si>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</si>
  <si>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</si>
  <si>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</si>
  <si>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</si>
  <si>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</si>
  <si>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</si>
  <si>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</si>
  <si>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</si>
  <si>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</si>
  <si>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</si>
  <si>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</si>
  <si>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</si>
  <si>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</si>
  <si>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</si>
  <si>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</si>
  <si>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</si>
  <si>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</si>
  <si>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</si>
  <si>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</si>
  <si>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</si>
  <si>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</si>
  <si>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</si>
  <si>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</si>
  <si>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</si>
  <si>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</si>
  <si>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</si>
  <si>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</si>
  <si>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</si>
  <si>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</si>
  <si>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</si>
  <si>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</si>
  <si>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</si>
  <si>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</si>
  <si>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</si>
  <si>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</si>
  <si>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</si>
  <si>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</si>
  <si>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</si>
  <si>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</si>
  <si>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</si>
  <si>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</si>
  <si>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</si>
  <si>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</si>
  <si>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</si>
  <si>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</si>
  <si>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</si>
  <si>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</si>
  <si>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</si>
  <si>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</si>
  <si>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</si>
  <si>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</si>
  <si>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</si>
  <si>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</si>
  <si>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</si>
  <si>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</si>
  <si>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</si>
  <si>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</si>
  <si>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</si>
  <si>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</si>
  <si>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</si>
  <si>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</si>
  <si>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</si>
  <si>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</si>
  <si>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</si>
  <si>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</si>
  <si>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</si>
  <si>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</si>
  <si>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</si>
  <si>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</si>
  <si>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</si>
  <si>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</si>
  <si>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</si>
  <si>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</si>
  <si>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</si>
  <si>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</si>
  <si>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</si>
  <si>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</si>
  <si>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</si>
  <si>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</si>
  <si>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</si>
  <si>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</si>
  <si>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</si>
  <si>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</si>
  <si>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</si>
  <si>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</si>
  <si>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</si>
  <si>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</si>
  <si>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</si>
  <si>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</si>
  <si>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</si>
  <si>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</si>
  <si>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</si>
  <si>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</si>
  <si>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</si>
  <si>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</si>
  <si>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</si>
  <si>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</si>
  <si>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</si>
  <si>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</si>
  <si>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</si>
  <si>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</si>
  <si>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</si>
  <si>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</si>
  <si>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</si>
  <si>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</si>
  <si>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</si>
  <si>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</si>
  <si>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</si>
  <si>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</si>
  <si>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</si>
  <si>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</si>
  <si>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</si>
  <si>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</si>
  <si>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</si>
  <si>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</si>
  <si>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</si>
  <si>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</si>
  <si>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</si>
  <si>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</si>
  <si>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</si>
  <si>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</si>
  <si>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</si>
  <si>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</si>
  <si>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</si>
  <si>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</si>
  <si>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</si>
  <si>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</si>
  <si>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</si>
  <si>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</si>
  <si>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</si>
  <si>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</si>
  <si>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</si>
  <si>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</si>
  <si>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</si>
  <si>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</si>
  <si>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</si>
  <si>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</si>
  <si>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</si>
  <si>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</si>
  <si>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</si>
  <si>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</si>
  <si>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</si>
  <si>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</si>
  <si>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</si>
  <si>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</si>
  <si>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</si>
  <si>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</si>
  <si>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</si>
  <si>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</si>
  <si>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</si>
  <si>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</si>
  <si>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</si>
  <si>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</si>
  <si>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</si>
  <si>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</si>
  <si>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</si>
  <si>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</si>
  <si>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</si>
  <si>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</si>
  <si>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</si>
  <si>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</si>
  <si>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</si>
  <si>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</si>
  <si>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</si>
  <si>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</si>
  <si>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</si>
  <si>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</si>
  <si>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</si>
  <si>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</si>
  <si>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</si>
  <si>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</si>
  <si>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</si>
  <si>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</si>
  <si>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</si>
  <si>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</si>
  <si>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</si>
  <si>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</si>
  <si>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</si>
  <si>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</si>
  <si>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</si>
  <si>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</si>
  <si>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</si>
  <si>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</si>
  <si>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</si>
  <si>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</si>
  <si>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</si>
  <si>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</si>
  <si>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</si>
  <si>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</si>
  <si>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</si>
  <si>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</si>
  <si>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</si>
  <si>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</si>
  <si>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</si>
  <si>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</si>
  <si>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</si>
  <si>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</si>
  <si>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</si>
  <si>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</si>
  <si>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</si>
  <si>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</si>
  <si>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</si>
  <si>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</si>
  <si>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</si>
  <si>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</si>
  <si>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</si>
  <si>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</si>
  <si>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</si>
  <si>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</si>
  <si>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</si>
  <si>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</si>
  <si>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</si>
  <si>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</si>
  <si>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</si>
  <si>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</si>
  <si>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</si>
  <si>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</si>
  <si>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</si>
  <si>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</si>
  <si>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</si>
  <si>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</si>
  <si>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</si>
  <si>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</si>
  <si>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</si>
  <si>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</si>
  <si>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</si>
  <si>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</si>
  <si>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</si>
  <si>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</si>
  <si>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</si>
  <si>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</si>
  <si>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</si>
  <si>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</si>
  <si>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</si>
  <si>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</si>
  <si>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</si>
  <si>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</si>
  <si>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</si>
  <si>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</si>
  <si>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</si>
  <si>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</si>
  <si>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</si>
  <si>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</si>
  <si>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</si>
  <si>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</si>
  <si>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</si>
  <si>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</si>
  <si>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</si>
  <si>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</si>
  <si>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</si>
  <si>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</si>
  <si>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</si>
  <si>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</si>
  <si>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</si>
  <si>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</si>
  <si>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</si>
  <si>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</si>
  <si>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</si>
  <si>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</si>
  <si>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</si>
  <si>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</si>
  <si>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</si>
  <si>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</si>
  <si>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</si>
  <si>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</si>
  <si>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</si>
  <si>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</si>
  <si>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</si>
  <si>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</si>
  <si>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</si>
  <si>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</si>
  <si>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</si>
  <si>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</si>
  <si>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</si>
  <si>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</si>
  <si>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</si>
  <si>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</si>
  <si>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</si>
  <si>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</si>
  <si>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</si>
  <si>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</si>
  <si>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</si>
  <si>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</si>
  <si>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</si>
  <si>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</si>
  <si>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</si>
  <si>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</si>
  <si>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</si>
  <si>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</si>
  <si>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</si>
  <si>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</si>
  <si>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</si>
  <si>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</si>
  <si>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</si>
  <si>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</si>
  <si>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</si>
  <si>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</si>
  <si>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</si>
  <si>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</si>
  <si>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</si>
  <si>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</si>
  <si>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</si>
  <si>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</si>
  <si>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</si>
  <si>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</si>
  <si>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</si>
  <si>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</si>
  <si>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</si>
  <si>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</si>
  <si>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</si>
  <si>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</si>
  <si>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</si>
  <si>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</si>
  <si>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</si>
  <si>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</si>
  <si>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</si>
  <si>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</si>
  <si>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</si>
  <si>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</si>
  <si>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</si>
  <si>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</si>
  <si>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</si>
  <si>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</si>
  <si>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</si>
  <si>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</si>
  <si>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</si>
  <si>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</si>
  <si>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</si>
  <si>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</si>
  <si>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</si>
  <si>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</si>
  <si>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</si>
  <si>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</si>
  <si>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</si>
  <si>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</si>
  <si>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</si>
  <si>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</si>
  <si>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</si>
  <si>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</si>
  <si>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</si>
  <si>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</si>
  <si>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</si>
  <si>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</si>
  <si>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</si>
  <si>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</si>
  <si>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</si>
  <si>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</si>
  <si>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</si>
  <si>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</si>
  <si>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</si>
  <si>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</si>
  <si>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</si>
  <si>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</si>
  <si>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</si>
  <si>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</si>
  <si>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</si>
  <si>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</si>
  <si>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</si>
  <si>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</si>
  <si>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</si>
  <si>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</si>
  <si>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</si>
  <si>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</si>
  <si>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</si>
  <si>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</si>
  <si>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</si>
  <si>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</si>
  <si>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</si>
  <si>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</si>
  <si>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</si>
  <si>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</si>
  <si>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</si>
  <si>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</si>
  <si>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</si>
  <si>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</si>
  <si>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</si>
  <si>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</si>
  <si>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</si>
  <si>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</si>
  <si>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</si>
  <si>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</si>
  <si>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</si>
  <si>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</si>
  <si>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</si>
  <si>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</si>
  <si>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</si>
  <si>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</si>
  <si>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</si>
  <si>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</si>
  <si>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</si>
  <si>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</si>
  <si>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</si>
  <si>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</si>
  <si>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</si>
  <si>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</si>
  <si>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</si>
  <si>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</si>
  <si>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</si>
  <si>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</si>
  <si>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</si>
  <si>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</si>
  <si>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</si>
  <si>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</si>
  <si>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</si>
  <si>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</si>
  <si>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</si>
  <si>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</si>
  <si>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</si>
  <si>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</si>
  <si>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</si>
  <si>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</si>
  <si>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</si>
  <si>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</si>
  <si>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</si>
  <si>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</si>
  <si>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</si>
  <si>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</si>
  <si>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</si>
  <si>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</si>
  <si>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</si>
  <si>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</si>
  <si>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</si>
  <si>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</si>
  <si>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</si>
  <si>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</si>
  <si>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</si>
  <si>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</si>
  <si>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</si>
  <si>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</si>
  <si>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</si>
  <si>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</si>
  <si>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</si>
  <si>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</si>
  <si>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</si>
  <si>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</si>
  <si>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</si>
  <si>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</si>
  <si>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</si>
  <si>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</si>
  <si>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</si>
  <si>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</si>
  <si>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</si>
  <si>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</si>
  <si>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</si>
  <si>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</si>
  <si>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</si>
  <si>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</si>
  <si>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</si>
  <si>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</si>
  <si>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</si>
  <si>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</si>
  <si>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</si>
  <si>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</si>
  <si>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</si>
  <si>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</si>
  <si>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</si>
  <si>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</si>
  <si>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</si>
  <si>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</si>
  <si>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</si>
  <si>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</si>
  <si>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</si>
  <si>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</si>
  <si>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</si>
  <si>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</si>
  <si>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</si>
  <si>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</si>
  <si>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</si>
  <si>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</si>
  <si>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</si>
  <si>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</si>
  <si>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</si>
  <si>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</si>
  <si>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</si>
  <si>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</si>
  <si>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</si>
  <si>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</si>
  <si>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</si>
  <si>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</si>
  <si>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</si>
  <si>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</si>
  <si>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</si>
  <si>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</si>
  <si>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</si>
  <si>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</si>
  <si>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</si>
  <si>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</si>
  <si>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</si>
  <si>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</si>
  <si>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</si>
  <si>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</si>
  <si>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</si>
  <si>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</si>
  <si>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</si>
  <si>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</si>
  <si>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</si>
  <si>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</si>
  <si>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</si>
  <si>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</si>
  <si>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</si>
  <si>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</si>
  <si>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</si>
  <si>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</si>
  <si>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</si>
  <si>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</si>
  <si>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</si>
  <si>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</si>
  <si>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</si>
  <si>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</si>
  <si>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</si>
  <si>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</si>
  <si>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</si>
  <si>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</si>
  <si>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</si>
  <si>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</si>
  <si>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</si>
  <si>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</si>
  <si>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</si>
  <si>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</si>
  <si>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</si>
  <si>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</si>
  <si>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</si>
  <si>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</si>
  <si>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</si>
  <si>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</si>
  <si>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</si>
  <si>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</si>
  <si>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</si>
  <si>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</si>
  <si>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</si>
  <si>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</si>
  <si>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</si>
  <si>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</si>
  <si>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</si>
  <si>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</si>
  <si>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</si>
  <si>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</si>
  <si>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</si>
  <si>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</si>
  <si>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</si>
  <si>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</si>
  <si>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</si>
  <si>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</si>
  <si>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</si>
  <si>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</si>
  <si>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</si>
  <si>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</si>
  <si>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</si>
  <si>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</si>
  <si>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</si>
  <si>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</si>
  <si>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</si>
  <si>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</si>
  <si>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</si>
  <si>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</si>
  <si>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</si>
  <si>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</si>
  <si>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</si>
  <si>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</si>
  <si>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</si>
  <si>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</si>
  <si>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</si>
  <si>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</si>
  <si>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</si>
  <si>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</si>
  <si>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</si>
  <si>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</si>
  <si>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</si>
  <si>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</si>
  <si>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</si>
  <si>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</si>
  <si>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</si>
  <si>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</si>
  <si>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</si>
  <si>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</si>
  <si>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</si>
  <si>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</si>
  <si>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</si>
  <si>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</si>
  <si>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</si>
  <si>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</si>
  <si>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</si>
  <si>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</si>
  <si>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</si>
  <si>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</si>
  <si>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</si>
  <si>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</si>
  <si>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</si>
  <si>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</si>
  <si>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</si>
  <si>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</si>
  <si>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</si>
  <si>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</si>
  <si>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</si>
  <si>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</si>
  <si>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</si>
  <si>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</si>
  <si>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</si>
  <si>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</si>
  <si>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</si>
  <si>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</si>
  <si>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</si>
  <si>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</si>
  <si>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</si>
  <si>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</si>
  <si>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</si>
  <si>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</si>
  <si>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</si>
  <si>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</si>
  <si>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</si>
  <si>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</si>
  <si>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</si>
  <si>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</si>
  <si>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</si>
  <si>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</si>
  <si>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</si>
  <si>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</si>
  <si>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</si>
  <si>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</si>
  <si>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</si>
  <si>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</si>
  <si>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</si>
  <si>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</si>
  <si>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</si>
  <si>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</si>
  <si>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</si>
  <si>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</si>
  <si>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</si>
  <si>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</si>
  <si>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</si>
  <si>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</si>
  <si>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</si>
  <si>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</si>
  <si>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</si>
  <si>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</si>
  <si>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</si>
  <si>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</si>
  <si>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</si>
  <si>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</si>
  <si>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</si>
  <si>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</si>
  <si>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</si>
  <si>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</si>
  <si>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</si>
  <si>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</si>
  <si>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</si>
  <si>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</si>
  <si>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</si>
  <si>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</si>
  <si>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</si>
  <si>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</si>
  <si>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</si>
  <si>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</si>
  <si>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</si>
  <si>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</si>
  <si>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</si>
  <si>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</si>
  <si>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</si>
  <si>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</si>
  <si>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</si>
  <si>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</si>
  <si>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</si>
  <si>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</si>
  <si>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</si>
  <si>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</si>
  <si>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</si>
  <si>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</si>
  <si>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</si>
  <si>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</si>
  <si>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</si>
  <si>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</si>
  <si>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</si>
  <si>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</si>
  <si>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</si>
  <si>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</si>
  <si>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</si>
  <si>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</si>
  <si>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</si>
  <si>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</si>
  <si>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</si>
  <si>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</si>
  <si>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</si>
  <si>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</si>
  <si>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</si>
  <si>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</si>
  <si>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</si>
  <si>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</si>
  <si>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</si>
  <si>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</si>
  <si>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</si>
  <si>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</si>
  <si>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</si>
  <si>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</si>
  <si>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</si>
  <si>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</si>
  <si>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</si>
  <si>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</si>
  <si>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</si>
  <si>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</si>
  <si>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</si>
  <si>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</si>
  <si>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</si>
  <si>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</si>
  <si>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</si>
  <si>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</si>
  <si>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</si>
  <si>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</si>
  <si>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</si>
  <si>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</si>
  <si>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</si>
  <si>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</si>
  <si>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</si>
  <si>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</si>
  <si>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</si>
  <si>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</si>
  <si>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</si>
  <si>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</si>
  <si>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</si>
  <si>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</si>
  <si>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</si>
  <si>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</si>
  <si>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</si>
  <si>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</si>
  <si>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</si>
  <si>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</si>
  <si>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</si>
  <si>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</si>
  <si>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</si>
  <si>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</si>
  <si>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</si>
  <si>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</si>
  <si>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</si>
  <si>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</si>
  <si>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</si>
  <si>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</si>
  <si>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</si>
  <si>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</si>
  <si>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</si>
  <si>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</si>
  <si>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</si>
  <si>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</si>
  <si>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</si>
  <si>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</si>
  <si>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</si>
  <si>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</si>
  <si>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</si>
  <si>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</si>
  <si>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</si>
  <si>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</si>
  <si>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</si>
  <si>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</si>
  <si>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</si>
  <si>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</si>
  <si>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</si>
  <si>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</si>
  <si>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</si>
  <si>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</si>
  <si>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</si>
  <si>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</si>
  <si>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</si>
  <si>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</si>
  <si>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</si>
  <si>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</si>
  <si>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</si>
  <si>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</si>
  <si>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</si>
  <si>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</si>
  <si>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</si>
  <si>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</si>
  <si>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</si>
  <si>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</si>
  <si>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</si>
  <si>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</si>
  <si>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</si>
  <si>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</si>
  <si>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</si>
  <si>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</si>
  <si>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</si>
  <si>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</si>
  <si>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</si>
  <si>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</si>
  <si>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</si>
  <si>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</si>
  <si>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</si>
  <si>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</si>
  <si>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</si>
  <si>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</si>
  <si>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</si>
  <si>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</si>
  <si>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</si>
  <si>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</si>
  <si>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</si>
  <si>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</si>
  <si>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</si>
  <si>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</si>
  <si>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</si>
  <si>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</si>
  <si>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</si>
  <si>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</si>
  <si>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</si>
  <si>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</si>
  <si>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</si>
  <si>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</si>
  <si>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</si>
  <si>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</si>
  <si>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</si>
  <si>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</si>
  <si>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</si>
  <si>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</si>
  <si>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</si>
  <si>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</si>
  <si>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</si>
  <si>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</si>
  <si>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</si>
  <si>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</si>
  <si>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</si>
  <si>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</si>
  <si>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</si>
  <si>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</si>
  <si>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</si>
  <si>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</si>
  <si>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</si>
  <si>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</si>
  <si>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</si>
  <si>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</si>
  <si>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</si>
  <si>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</si>
  <si>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</si>
  <si>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</si>
  <si>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</si>
  <si>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</si>
  <si>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</si>
  <si>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</si>
  <si>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</si>
  <si>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</si>
  <si>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</si>
  <si>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</si>
  <si>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</si>
  <si>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</si>
  <si>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</si>
  <si>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</si>
  <si>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</si>
  <si>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</si>
  <si>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</si>
  <si>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</si>
  <si>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</si>
  <si>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</si>
  <si>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</si>
  <si>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</si>
  <si>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</si>
  <si>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</si>
  <si>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</si>
  <si>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</si>
  <si>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</si>
  <si>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</si>
  <si>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</si>
  <si>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</si>
  <si>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</si>
  <si>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</si>
  <si>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</si>
  <si>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</si>
  <si>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</si>
  <si>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</si>
  <si>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</si>
  <si>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</si>
  <si>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</si>
  <si>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</si>
  <si>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</si>
  <si>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</si>
  <si>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</si>
  <si>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</si>
  <si>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</si>
  <si>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</si>
  <si>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</si>
  <si>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</si>
  <si>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</si>
  <si>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</si>
  <si>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</si>
  <si>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</si>
  <si>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</si>
  <si>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</si>
  <si>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</si>
  <si>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</si>
  <si>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</si>
  <si>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</si>
  <si>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</si>
  <si>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</si>
  <si>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</si>
  <si>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</si>
  <si>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</si>
  <si>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</si>
  <si>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</si>
  <si>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</si>
  <si>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</si>
  <si>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</si>
  <si>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</si>
  <si>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</si>
  <si>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</si>
  <si>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</si>
  <si>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</si>
  <si>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</si>
  <si>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</si>
  <si>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</si>
  <si>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</si>
  <si>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</si>
  <si>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</si>
  <si>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</si>
  <si>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</si>
  <si>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</si>
  <si>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</si>
  <si>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</si>
  <si>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</si>
  <si>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</si>
  <si>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</si>
  <si>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</si>
  <si>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</si>
  <si>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</si>
  <si>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</si>
  <si>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</si>
  <si>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</si>
  <si>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</si>
  <si>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</si>
  <si>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</si>
  <si>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</si>
  <si>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</si>
  <si>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</si>
  <si>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</si>
  <si>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</si>
  <si>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</si>
  <si>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</si>
  <si>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</si>
  <si>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</si>
  <si>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</si>
  <si>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</si>
  <si>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</si>
  <si>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</si>
  <si>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</si>
  <si>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</si>
  <si>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</si>
  <si>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</si>
  <si>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</si>
  <si>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</si>
  <si>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</si>
  <si>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</si>
  <si>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</si>
  <si>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</si>
  <si>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</si>
  <si>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</si>
  <si>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</si>
  <si>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</si>
  <si>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</si>
  <si>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</si>
  <si>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</si>
  <si>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</si>
  <si>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</si>
  <si>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</si>
  <si>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</si>
  <si>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</si>
  <si>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</si>
  <si>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</si>
  <si>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</si>
  <si>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</si>
  <si>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</si>
  <si>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</si>
  <si>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</si>
  <si>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</si>
  <si>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</si>
  <si>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</si>
  <si>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</si>
  <si>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</si>
  <si>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</si>
  <si>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</si>
  <si>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</si>
  <si>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</si>
  <si>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</si>
  <si>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</si>
  <si>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</si>
  <si>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</si>
  <si>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</si>
  <si>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</si>
  <si>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</si>
  <si>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</si>
  <si>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</si>
  <si>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</si>
  <si>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</si>
  <si>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</si>
  <si>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</si>
  <si>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</si>
  <si>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</si>
  <si>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</si>
  <si>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</si>
  <si>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</si>
  <si>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</si>
  <si>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</si>
  <si>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</si>
  <si>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</si>
  <si>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</si>
  <si>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</si>
  <si>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</si>
  <si>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</si>
  <si>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</si>
  <si>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</si>
  <si>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</si>
  <si>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</si>
  <si>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</si>
  <si>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</si>
  <si>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</si>
  <si>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</si>
  <si>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</si>
  <si>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</si>
  <si>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</si>
  <si>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</si>
  <si>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</si>
  <si>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</si>
  <si>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</si>
  <si>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</si>
  <si>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</si>
  <si>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</si>
  <si>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</si>
  <si>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</si>
  <si>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</si>
  <si>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</si>
  <si>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</si>
  <si>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</si>
  <si>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</si>
  <si>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</si>
  <si>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</si>
  <si>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</si>
  <si>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</si>
  <si>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</si>
  <si>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</si>
  <si>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</si>
  <si>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</si>
  <si>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</si>
  <si>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</si>
  <si>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</si>
  <si>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</si>
  <si>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</si>
  <si>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</si>
  <si>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</si>
  <si>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</si>
  <si>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</si>
  <si>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</si>
  <si>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</si>
  <si>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</si>
  <si>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</si>
  <si>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</si>
  <si>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</si>
  <si>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</si>
  <si>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</si>
  <si>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</si>
  <si>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</si>
  <si>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SUM of Employee Count</t>
  </si>
  <si>
    <t>COUNTA of Over Time</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</si>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</sst>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207178127"/>
        <c:axId val="27489797"/>
      </c:barChart>
      <c:catAx>
        <c:axId val="2071781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7489797"/>
      </c:catAx>
      <c:valAx>
        <c:axId val="274897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17812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958359706"/>
        <c:axId val="1502143063"/>
      </c:barChart>
      <c:catAx>
        <c:axId val="19583597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502143063"/>
      </c:catAx>
      <c:valAx>
        <c:axId val="15021430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835970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720443681"/>
        <c:axId val="1218487451"/>
      </c:lineChart>
      <c:catAx>
        <c:axId val="1720443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218487451"/>
      </c:catAx>
      <c:valAx>
        <c:axId val="1218487451"/>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04436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Employee Count vs. Job Role</a:t>
            </a:r>
          </a:p>
        </c:rich>
      </c:tx>
      <c:overlay val="0"/>
    </c:title>
    <c:plotArea>
      <c:layout/>
      <c:barChart>
        <c:barDir val="bar"/>
        <c:ser>
          <c:idx val="0"/>
          <c:order val="0"/>
          <c:tx>
            <c:strRef>
              <c:f>'Job &amp; Organizational Factors'!$C$106</c:f>
            </c:strRef>
          </c:tx>
          <c:spPr>
            <a:solidFill>
              <a:schemeClr val="accent1"/>
            </a:solidFill>
            <a:ln cmpd="sng">
              <a:solidFill>
                <a:srgbClr val="000000"/>
              </a:solidFill>
            </a:ln>
          </c:spPr>
          <c:cat>
            <c:strRef>
              <c:f>'Job &amp; Organizational Factors'!$B$107:$B$115</c:f>
            </c:strRef>
          </c:cat>
          <c:val>
            <c:numRef>
              <c:f>'Job &amp; Organizational Factors'!$C$107:$C$115</c:f>
              <c:numCache/>
            </c:numRef>
          </c:val>
        </c:ser>
        <c:axId val="929477214"/>
        <c:axId val="510501726"/>
      </c:barChart>
      <c:catAx>
        <c:axId val="9294772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510501726"/>
      </c:catAx>
      <c:valAx>
        <c:axId val="5105017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Employee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9477214"/>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886774740"/>
        <c:axId val="1583655667"/>
      </c:barChart>
      <c:catAx>
        <c:axId val="18867747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583655667"/>
      </c:catAx>
      <c:valAx>
        <c:axId val="15836556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6774740"/>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285396294"/>
        <c:axId val="1893870745"/>
      </c:barChart>
      <c:catAx>
        <c:axId val="12853962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893870745"/>
      </c:catAx>
      <c:valAx>
        <c:axId val="18938707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5396294"/>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2084730595"/>
        <c:axId val="1283301227"/>
      </c:barChart>
      <c:catAx>
        <c:axId val="20847305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283301227"/>
      </c:catAx>
      <c:valAx>
        <c:axId val="12833012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4730595"/>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Over Time</a:t>
            </a:r>
          </a:p>
        </c:rich>
      </c:tx>
      <c:overlay val="0"/>
    </c:title>
    <c:plotArea>
      <c:layout/>
      <c:pieChart>
        <c:varyColors val="1"/>
        <c:ser>
          <c:idx val="0"/>
          <c:order val="0"/>
          <c:tx>
            <c:strRef>
              <c:f>'Demographic Factors'!$C$113</c:f>
            </c:strRef>
          </c:tx>
          <c:dPt>
            <c:idx val="0"/>
            <c:spPr>
              <a:solidFill>
                <a:srgbClr val="4472C4"/>
              </a:solidFill>
            </c:spPr>
          </c:dPt>
          <c:dPt>
            <c:idx val="1"/>
            <c:spPr>
              <a:solidFill>
                <a:srgbClr val="ED7D31"/>
              </a:solidFill>
            </c:spPr>
          </c:dPt>
          <c:dPt>
            <c:idx val="2"/>
            <c:spPr>
              <a:solidFill>
                <a:srgbClr val="A5A5A5"/>
              </a:solidFill>
            </c:spPr>
          </c:dPt>
          <c:dLbls>
            <c:showLegendKey val="0"/>
            <c:showVal val="0"/>
            <c:showCatName val="0"/>
            <c:showSerName val="0"/>
            <c:showPercent val="0"/>
            <c:showBubbleSize val="0"/>
            <c:showLeaderLines val="1"/>
          </c:dLbls>
          <c:cat>
            <c:strRef>
              <c:f>'Demographic Factors'!$B$114:$B$116</c:f>
            </c:strRef>
          </c:cat>
          <c:val>
            <c:numRef>
              <c:f>'Demographic Factors'!$C$114:$C$116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515064115"/>
        <c:axId val="1551118487"/>
      </c:barChart>
      <c:catAx>
        <c:axId val="5150641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551118487"/>
      </c:catAx>
      <c:valAx>
        <c:axId val="15511184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5064115"/>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631125833"/>
        <c:axId val="1749104985"/>
      </c:barChart>
      <c:catAx>
        <c:axId val="16311258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49104985"/>
      </c:catAx>
      <c:valAx>
        <c:axId val="17491049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1125833"/>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653682940"/>
        <c:axId val="1536092339"/>
      </c:barChart>
      <c:catAx>
        <c:axId val="1653682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536092339"/>
      </c:catAx>
      <c:valAx>
        <c:axId val="15360923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368294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344342837"/>
        <c:axId val="1503202489"/>
      </c:barChart>
      <c:catAx>
        <c:axId val="1344342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503202489"/>
      </c:catAx>
      <c:valAx>
        <c:axId val="15032024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342837"/>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933813003"/>
        <c:axId val="1857856486"/>
      </c:barChart>
      <c:catAx>
        <c:axId val="1933813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857856486"/>
      </c:catAx>
      <c:valAx>
        <c:axId val="1857856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3813003"/>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369871928"/>
        <c:axId val="748082283"/>
      </c:lineChart>
      <c:catAx>
        <c:axId val="1369871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748082283"/>
      </c:catAx>
      <c:valAx>
        <c:axId val="748082283"/>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9871928"/>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197788659"/>
        <c:axId val="378746143"/>
      </c:barChart>
      <c:catAx>
        <c:axId val="119778865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378746143"/>
      </c:catAx>
      <c:valAx>
        <c:axId val="3787461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7788659"/>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997763573"/>
        <c:axId val="316768261"/>
      </c:barChart>
      <c:catAx>
        <c:axId val="9977635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316768261"/>
      </c:catAx>
      <c:valAx>
        <c:axId val="3167682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7763573"/>
        <c:crosses val="max"/>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676235782"/>
        <c:axId val="1653565357"/>
      </c:barChart>
      <c:catAx>
        <c:axId val="16762357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653565357"/>
      </c:catAx>
      <c:valAx>
        <c:axId val="16535653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6235782"/>
        <c:crosses val="max"/>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233252228"/>
        <c:axId val="792564871"/>
      </c:barChart>
      <c:catAx>
        <c:axId val="1233252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792564871"/>
      </c:catAx>
      <c:valAx>
        <c:axId val="7925648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3252228"/>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409284770"/>
        <c:axId val="727052193"/>
      </c:barChart>
      <c:catAx>
        <c:axId val="4092847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727052193"/>
      </c:catAx>
      <c:valAx>
        <c:axId val="7270521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9284770"/>
        <c:crosses val="max"/>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379567439"/>
        <c:axId val="537817143"/>
      </c:barChart>
      <c:catAx>
        <c:axId val="13795674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537817143"/>
      </c:catAx>
      <c:valAx>
        <c:axId val="5378171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567439"/>
        <c:crosses val="max"/>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279034459"/>
        <c:axId val="586633345"/>
      </c:barChart>
      <c:catAx>
        <c:axId val="279034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586633345"/>
      </c:catAx>
      <c:valAx>
        <c:axId val="586633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9034459"/>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7.xml"/><Relationship Id="rId10" Type="http://schemas.openxmlformats.org/officeDocument/2006/relationships/chart" Target="../charts/chart26.xml"/><Relationship Id="rId13" Type="http://schemas.openxmlformats.org/officeDocument/2006/relationships/chart" Target="../charts/chart29.xml"/><Relationship Id="rId12" Type="http://schemas.openxmlformats.org/officeDocument/2006/relationships/chart" Target="../charts/chart28.xml"/><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9" Type="http://schemas.openxmlformats.org/officeDocument/2006/relationships/chart" Target="../charts/chart25.xml"/><Relationship Id="rId15" Type="http://schemas.openxmlformats.org/officeDocument/2006/relationships/chart" Target="../charts/chart31.xml"/><Relationship Id="rId14" Type="http://schemas.openxmlformats.org/officeDocument/2006/relationships/chart" Target="../charts/chart30.xml"/><Relationship Id="rId16" Type="http://schemas.openxmlformats.org/officeDocument/2006/relationships/chart" Target="../charts/chart32.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600075</xdr:colOff>
      <xdr:row>104</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352425</xdr:colOff>
      <xdr:row>107</xdr:row>
      <xdr:rowOff>57150</xdr:rowOff>
    </xdr:from>
    <xdr:ext cx="4152900" cy="2571750"/>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20" name="Chart 2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3" name="Chart 2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4" name="Chart 2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9" name="Chart 29"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30" name="Chart 30"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31" name="Chart 31"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2" name="Chart 32"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Job &amp; Organizational Factors 5" cacheId="0" dataCaption="" compact="0" compactData="0">
  <location ref="B106:C116" firstHeaderRow="0" firstDataRow="1" firstDataCol="0"/>
  <pivotFields>
    <pivotField name="Attrition" compact="0" outline="0" multipleItemSelectionAllowed="1" showAll="0">
      <items>
        <item x="0"/>
        <item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dataField="1"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dataFields>
    <dataField name="SUM of Employee Count" fld="18" baseField="0"/>
  </dataFields>
</pivotTableDefinition>
</file>

<file path=xl/pivotTables/pivotTable6.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Demographic Factors 5" cacheId="0" dataCaption="" compact="0" compactData="0">
  <location ref="B113:C116" firstHeaderRow="0" firstDataRow="1" firstDataCol="0"/>
  <pivotFields>
    <pivotField name="Attrition" compact="0" outline="0" multipleItemSelectionAllowed="1" showAll="0">
      <items>
        <item x="0"/>
        <item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dataField="1"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dataFields>
    <dataField name="COUNTA of Over Time" fld="12" subtotal="count" baseField="0"/>
  </dataFields>
</pivotTableDefinition>
</file>

<file path=xl/pivotTables/pivotTable11.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4.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5.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6.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pivotTable" Target="../pivotTables/pivotTable12.xml"/><Relationship Id="rId3" Type="http://schemas.openxmlformats.org/officeDocument/2006/relationships/pivotTable" Target="../pivotTables/pivotTable13.xml"/><Relationship Id="rId4" Type="http://schemas.openxmlformats.org/officeDocument/2006/relationships/pivotTable" Target="../pivotTables/pivotTable14.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pivotTable" Target="../pivotTables/pivotTable16.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row r="106"/>
    <row r="107"/>
    <row r="108"/>
    <row r="109"/>
    <row r="110"/>
    <row r="111"/>
    <row r="112"/>
    <row r="113"/>
    <row r="114"/>
    <row r="115"/>
    <row r="116"/>
  </sheetData>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row r="113"/>
    <row r="114"/>
    <row r="115"/>
    <row r="116"/>
  </sheetData>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3022</v>
      </c>
      <c r="H1" s="15"/>
      <c r="I1" s="15" t="s">
        <v>3023</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3024</v>
      </c>
      <c r="H23" s="18"/>
      <c r="I23" s="19" t="s">
        <v>3025</v>
      </c>
    </row>
    <row r="24">
      <c r="H24" s="18"/>
    </row>
    <row r="25">
      <c r="H25" s="16"/>
      <c r="I25" s="16"/>
      <c r="J25" s="16"/>
      <c r="K25" s="16"/>
      <c r="L25" s="16"/>
    </row>
    <row r="26">
      <c r="H26" s="16"/>
      <c r="I26" s="16"/>
      <c r="J26" s="16"/>
      <c r="K26" s="16"/>
      <c r="L26" s="16"/>
    </row>
    <row r="27">
      <c r="A27" s="14" t="s">
        <v>3026</v>
      </c>
      <c r="H27" s="16"/>
      <c r="I27" s="15" t="s">
        <v>3027</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3028</v>
      </c>
    </row>
    <row r="39">
      <c r="H39" s="16"/>
    </row>
    <row r="40">
      <c r="H40" s="16"/>
      <c r="I40" s="16"/>
      <c r="J40" s="16"/>
      <c r="K40" s="16"/>
      <c r="L40" s="16"/>
    </row>
    <row r="41">
      <c r="H41" s="16"/>
    </row>
    <row r="42">
      <c r="H42" s="16"/>
      <c r="I42" s="15" t="s">
        <v>3029</v>
      </c>
    </row>
    <row r="43">
      <c r="H43" s="18"/>
      <c r="I43" s="18"/>
      <c r="J43" s="18"/>
      <c r="K43" s="18"/>
      <c r="L43" s="18"/>
    </row>
    <row r="44">
      <c r="H44" s="18"/>
      <c r="I44" s="16" t="s">
        <v>3030</v>
      </c>
    </row>
    <row r="45">
      <c r="H45" s="18"/>
    </row>
    <row r="46">
      <c r="H46" s="16"/>
    </row>
    <row r="47">
      <c r="H47" s="16"/>
    </row>
    <row r="48">
      <c r="A48" s="17" t="s">
        <v>3031</v>
      </c>
      <c r="H48" s="16"/>
    </row>
    <row r="49">
      <c r="H49" s="16"/>
    </row>
    <row r="50">
      <c r="H50" s="16"/>
    </row>
    <row r="51">
      <c r="H51" s="16"/>
    </row>
    <row r="52">
      <c r="H52" s="16"/>
      <c r="I52" s="16"/>
      <c r="J52" s="16"/>
      <c r="K52" s="16"/>
      <c r="L52" s="16"/>
    </row>
    <row r="53">
      <c r="H53" s="16"/>
      <c r="I53" s="16"/>
      <c r="J53" s="16"/>
      <c r="K53" s="16"/>
      <c r="L53" s="16"/>
    </row>
    <row r="54">
      <c r="F54" s="14" t="s">
        <v>3032</v>
      </c>
      <c r="K54" s="16"/>
      <c r="L54" s="16"/>
    </row>
    <row r="55">
      <c r="F55" s="16" t="s">
        <v>3033</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3034</v>
      </c>
    </row>
    <row r="187">
      <c r="H187" s="18"/>
      <c r="I187" s="18"/>
      <c r="J187" s="18"/>
      <c r="K187" s="18"/>
      <c r="L187" s="18"/>
    </row>
    <row r="188">
      <c r="H188" s="18"/>
      <c r="I188" s="18"/>
      <c r="J188" s="18"/>
      <c r="K188" s="18"/>
      <c r="L188" s="18"/>
    </row>
    <row r="189">
      <c r="H189" s="18"/>
      <c r="I189" s="18"/>
      <c r="J189" s="18"/>
      <c r="K189" s="18"/>
      <c r="L189" s="18"/>
    </row>
    <row r="190">
      <c r="H190" s="16" t="s">
        <v>3035</v>
      </c>
    </row>
    <row r="209">
      <c r="H209" s="18"/>
      <c r="I209" s="18"/>
      <c r="J209" s="18"/>
      <c r="K209" s="18"/>
      <c r="L209" s="18"/>
    </row>
    <row r="210">
      <c r="H210" s="18"/>
      <c r="I210" s="18"/>
      <c r="J210" s="18"/>
      <c r="K210" s="18"/>
      <c r="L210" s="18"/>
    </row>
    <row r="211">
      <c r="H211" s="18"/>
      <c r="I211" s="18"/>
      <c r="J211" s="18"/>
      <c r="K211" s="18"/>
      <c r="L211" s="18"/>
    </row>
    <row r="212">
      <c r="H212" s="16" t="s">
        <v>3036</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3037</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3038</v>
      </c>
    </row>
    <row r="295">
      <c r="H295" s="18"/>
      <c r="I295" s="18"/>
      <c r="J295" s="18"/>
      <c r="K295" s="18"/>
      <c r="L295" s="18"/>
    </row>
    <row r="296">
      <c r="H296" s="18"/>
      <c r="I296" s="18"/>
      <c r="J296" s="18"/>
      <c r="K296" s="18"/>
      <c r="L296" s="18"/>
    </row>
    <row r="297">
      <c r="H297" s="16" t="s">
        <v>3039</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